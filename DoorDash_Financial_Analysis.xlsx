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e\Desktop\Doordash Project SQL\"/>
    </mc:Choice>
  </mc:AlternateContent>
  <xr:revisionPtr revIDLastSave="0" documentId="8_{CE9D3EE5-49BA-4FDD-9834-A3F9B920ED64}" xr6:coauthVersionLast="47" xr6:coauthVersionMax="47" xr10:uidLastSave="{00000000-0000-0000-0000-000000000000}"/>
  <bookViews>
    <workbookView xWindow="-120" yWindow="-120" windowWidth="20730" windowHeight="11160" xr2:uid="{BAD898C5-9C9C-400D-94A3-01CD83C1A00A}"/>
  </bookViews>
  <sheets>
    <sheet name="Comp Table" sheetId="1" r:id="rId1"/>
    <sheet name="DoorDash Forecast" sheetId="2" r:id="rId2"/>
    <sheet name="Assumption Scenario" sheetId="5" r:id="rId3"/>
    <sheet name="Summ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3" l="1"/>
  <c r="C16" i="3"/>
  <c r="B16" i="3"/>
  <c r="D15" i="3"/>
  <c r="C15" i="3"/>
  <c r="B15" i="3"/>
  <c r="D11" i="3"/>
  <c r="C11" i="3"/>
  <c r="B11" i="3"/>
  <c r="D10" i="3"/>
  <c r="C10" i="3"/>
  <c r="B10" i="3"/>
  <c r="D9" i="3"/>
  <c r="C9" i="3"/>
  <c r="B9" i="3"/>
  <c r="E6" i="2"/>
  <c r="D6" i="2"/>
  <c r="C6" i="2"/>
  <c r="E5" i="2"/>
  <c r="D5" i="2"/>
  <c r="C5" i="2"/>
  <c r="C9" i="2" s="1"/>
  <c r="B11" i="2"/>
  <c r="B12" i="2" s="1"/>
  <c r="D9" i="2" l="1"/>
  <c r="C11" i="2"/>
  <c r="C12" i="2" s="1"/>
  <c r="C10" i="2"/>
  <c r="D11" i="2" l="1"/>
  <c r="D12" i="2" s="1"/>
  <c r="D10" i="2"/>
  <c r="E9" i="2"/>
  <c r="E11" i="2" l="1"/>
  <c r="E12" i="2" s="1"/>
  <c r="E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Karsten Lats</author>
  </authors>
  <commentList>
    <comment ref="B9" authorId="0" shapeId="0" xr:uid="{DCEB007B-4269-420A-82F0-DC17E76A2C3D}">
      <text>
        <r>
          <rPr>
            <b/>
            <sz val="9"/>
            <color indexed="81"/>
            <rFont val="Tahoma"/>
            <family val="2"/>
          </rPr>
          <t>Karsten Lats:</t>
        </r>
        <r>
          <rPr>
            <sz val="9"/>
            <color indexed="81"/>
            <rFont val="Tahoma"/>
            <family val="2"/>
          </rPr>
          <t xml:space="preserve">
Source: DoorDash FY2025 Form 10-K, total revenue $13,717M. https://www.sec.gov/Archives/edgar/data/0001792789/000179278926000013/dash-20251231.htm</t>
        </r>
      </text>
    </comment>
  </commentList>
</comments>
</file>

<file path=xl/sharedStrings.xml><?xml version="1.0" encoding="utf-8"?>
<sst xmlns="http://schemas.openxmlformats.org/spreadsheetml/2006/main" count="60" uniqueCount="48">
  <si>
    <t>Uber</t>
  </si>
  <si>
    <t>Instacart</t>
  </si>
  <si>
    <t>($ in millions)</t>
  </si>
  <si>
    <t>DoorDash</t>
  </si>
  <si>
    <t>Operating Income</t>
  </si>
  <si>
    <t>Net Income</t>
  </si>
  <si>
    <t>DoorDash — Operating Income Forecast</t>
  </si>
  <si>
    <t>2025A</t>
  </si>
  <si>
    <t>2026E</t>
  </si>
  <si>
    <t>2027E</t>
  </si>
  <si>
    <t>2028E</t>
  </si>
  <si>
    <t>Assumptions</t>
  </si>
  <si>
    <t>Revenue Growth %</t>
  </si>
  <si>
    <t>Operating Margin %</t>
  </si>
  <si>
    <t>Forecast</t>
  </si>
  <si>
    <t>Revenue</t>
  </si>
  <si>
    <t xml:space="preserve">   % Growth</t>
  </si>
  <si>
    <t xml:space="preserve">   Operating Margin</t>
  </si>
  <si>
    <t>Active Scenario:</t>
  </si>
  <si>
    <t>Base</t>
  </si>
  <si>
    <t>Scenario Assumptions</t>
  </si>
  <si>
    <t>Scenario</t>
  </si>
  <si>
    <t>Grw 2026E</t>
  </si>
  <si>
    <t>Grw 2027E</t>
  </si>
  <si>
    <t>Grw 2028E</t>
  </si>
  <si>
    <t>Mgn 2026E</t>
  </si>
  <si>
    <t>Mgn 2027E</t>
  </si>
  <si>
    <t>Mgn 2028E</t>
  </si>
  <si>
    <t>Bull</t>
  </si>
  <si>
    <t>Conservative</t>
  </si>
  <si>
    <t>Click Button to switch Case by Case basis</t>
  </si>
  <si>
    <t>Scenario Assumption Methodology</t>
  </si>
  <si>
    <t>Base Case</t>
  </si>
  <si>
    <t>Growth rates (18% → 15% → 12%) reflect DoorDash's historical 15-18% YoY growth trajectory, with modest deceleration as the business matures and market saturation moderates demand. Margins (2.5% → 5.0% → 8.0%) are grounded in the company's inflection to profitability in 2025 ($723M operating income, ~5% of revenue), with the assumption that operational leverage from scale drives 200-300 bps of annual margin expansion as take-rate optimization and marketing efficiency improve.</t>
  </si>
  <si>
    <t>Conservative Case</t>
  </si>
  <si>
    <t>Assumes more aggressive market saturation and competitive pressure (Uber, Amazon) compress growth to 14% → 10% → 7%. Margin expansion slows to 150-200 bps annually (1.5% → 3.0% → 5.0%), reflecting pricing pressure and higher customer acquisition costs in a crowded market. This case grounds to Q4 2025 performance and accounts for macro headwinds.</t>
  </si>
  <si>
    <t>Bull Case</t>
  </si>
  <si>
    <t>Assumes DoorDash sustains 20%+ growth through international expansion and adjacent services (ghost kitchens, advertising revenue), with margins expanding faster (250-400 bps annually to 11% by 2028) as advertising becomes a higher-margin business line (see Uber's success: advertising now a meaningful share of Mobility take-rate). This case reflects best-in-class execution and network effects.</t>
  </si>
  <si>
    <t>Data Sources</t>
  </si>
  <si>
    <t>Historical financial data — Form 10-K filings (FY2023–FY2025), SEC EDGAR:
   •  DoorDash, Inc.
   •  Uber Technologies, Inc.
   •  Instacart (Maplebear Inc.)
DoorDash FY2025 total revenue ($13,717M) per FY2025 Form 10-K.
Source: https://www.sec.gov/cgi-bin/browse-edgar</t>
  </si>
  <si>
    <t>DoorDash — Investment Summary</t>
  </si>
  <si>
    <t>Investment Thesis</t>
  </si>
  <si>
    <t>Operating Income — Peer Comparison</t>
  </si>
  <si>
    <t>2023A</t>
  </si>
  <si>
    <t>2024A</t>
  </si>
  <si>
    <t>DoorDash Operating Income Forecast (Base Case)</t>
  </si>
  <si>
    <t>Operating Margin</t>
  </si>
  <si>
    <t>DoorDash reached net profitability in 2024 (+$123M net income) after years of losses, then inflected to its first full-year operating profit of $723M in 2025. Among the three comps, Uber reached operating profitability first (2023) and Instacart in 2024; DoorDash was last to cross into operating profit but shows the steepest margin-expansion trajectory, a ~$760M swing in operating income from 2024 to 2025. Suggesting operational leverage from scale and marketplace efficiency gains. If DoorDash sustains 2.5–5% operating margins through 2026–2027, operating income would run roughly $400–900M annually (Base case), comparable to Instacart's normalized profitability despite DoorDash's larger revenue base and greater exposure to delivery competition.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</si>
</sst>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,,;[Red]\(#,##0,,\)"/>
    <numFmt numFmtId="165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1F3864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1F38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44" fontId="0" fillId="0" borderId="0" xfId="2" applyFont="1"/>
    <xf numFmtId="43" fontId="0" fillId="0" borderId="0" xfId="1" applyFont="1"/>
    <xf numFmtId="164" fontId="0" fillId="0" borderId="0" xfId="0" applyNumberFormat="1"/>
    <xf numFmtId="0" fontId="2" fillId="0" borderId="0" xfId="0" applyFont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right"/>
    </xf>
    <xf numFmtId="0" fontId="0" fillId="0" borderId="2" xfId="0" applyBorder="1" applyAlignment="1">
      <alignment horizontal="left"/>
    </xf>
    <xf numFmtId="164" fontId="0" fillId="0" borderId="2" xfId="0" applyNumberFormat="1" applyBorder="1"/>
    <xf numFmtId="165" fontId="0" fillId="0" borderId="0" xfId="0" applyNumberFormat="1"/>
    <xf numFmtId="0" fontId="8" fillId="0" borderId="0" xfId="0" applyFont="1"/>
    <xf numFmtId="0" fontId="9" fillId="0" borderId="0" xfId="0" applyFont="1"/>
    <xf numFmtId="165" fontId="10" fillId="0" borderId="0" xfId="0" applyNumberFormat="1" applyFont="1"/>
    <xf numFmtId="164" fontId="11" fillId="0" borderId="0" xfId="0" applyNumberFormat="1" applyFont="1"/>
    <xf numFmtId="0" fontId="0" fillId="3" borderId="1" xfId="0" applyFill="1" applyBorder="1"/>
    <xf numFmtId="0" fontId="2" fillId="0" borderId="3" xfId="0" applyFont="1" applyBorder="1"/>
    <xf numFmtId="164" fontId="10" fillId="0" borderId="3" xfId="0" applyNumberFormat="1" applyFont="1" applyBorder="1"/>
    <xf numFmtId="164" fontId="0" fillId="0" borderId="3" xfId="0" applyNumberFormat="1" applyBorder="1"/>
    <xf numFmtId="164" fontId="11" fillId="0" borderId="3" xfId="0" applyNumberFormat="1" applyFont="1" applyBorder="1"/>
    <xf numFmtId="0" fontId="2" fillId="0" borderId="0" xfId="0" applyFont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65" fontId="12" fillId="0" borderId="0" xfId="0" applyNumberFormat="1" applyFont="1"/>
    <xf numFmtId="0" fontId="13" fillId="0" borderId="0" xfId="0" applyFont="1" applyFill="1"/>
    <xf numFmtId="0" fontId="0" fillId="0" borderId="0" xfId="0" applyFill="1"/>
    <xf numFmtId="0" fontId="14" fillId="0" borderId="0" xfId="0" applyFont="1" applyAlignment="1">
      <alignment vertical="center"/>
    </xf>
    <xf numFmtId="0" fontId="15" fillId="3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14" fillId="0" borderId="0" xfId="0" applyFont="1"/>
    <xf numFmtId="0" fontId="0" fillId="0" borderId="0" xfId="0" applyFont="1"/>
    <xf numFmtId="165" fontId="11" fillId="0" borderId="0" xfId="0" applyNumberFormat="1" applyFont="1"/>
    <xf numFmtId="0" fontId="2" fillId="0" borderId="6" xfId="0" applyFont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b/>
        <i val="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AF6E7A-CF9C-4129-8296-E1FCB841CEA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9dfca15-6c37-4c7e-b683-7eca3dd591b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C8B4-D667-4FAE-B1D4-738C170818F9}">
  <dimension ref="A1:D12"/>
  <sheetViews>
    <sheetView tabSelected="1" workbookViewId="0">
      <selection activeCell="B23" sqref="B23"/>
    </sheetView>
  </sheetViews>
  <sheetFormatPr defaultRowHeight="15" x14ac:dyDescent="0.25"/>
  <cols>
    <col min="1" max="1" width="21" customWidth="1"/>
    <col min="2" max="2" width="17.140625" style="2" customWidth="1"/>
    <col min="3" max="4" width="17.140625" style="1" customWidth="1"/>
    <col min="6" max="6" width="9.140625" customWidth="1"/>
  </cols>
  <sheetData>
    <row r="1" spans="1:4" ht="15.75" thickBot="1" x14ac:dyDescent="0.3">
      <c r="A1" s="8" t="s">
        <v>2</v>
      </c>
      <c r="B1" s="9" t="s">
        <v>3</v>
      </c>
      <c r="C1" s="9" t="s">
        <v>0</v>
      </c>
      <c r="D1" s="9" t="s">
        <v>1</v>
      </c>
    </row>
    <row r="2" spans="1:4" x14ac:dyDescent="0.25">
      <c r="A2" s="5" t="s">
        <v>4</v>
      </c>
      <c r="B2" s="6"/>
      <c r="C2" s="6"/>
      <c r="D2" s="6"/>
    </row>
    <row r="3" spans="1:4" x14ac:dyDescent="0.25">
      <c r="A3" s="7">
        <v>2023</v>
      </c>
      <c r="B3" s="3">
        <v>-579000000</v>
      </c>
      <c r="C3" s="3">
        <v>1110000000</v>
      </c>
      <c r="D3" s="3">
        <v>-2142000000</v>
      </c>
    </row>
    <row r="4" spans="1:4" x14ac:dyDescent="0.25">
      <c r="A4" s="7">
        <v>2024</v>
      </c>
      <c r="B4" s="3">
        <v>-38000000</v>
      </c>
      <c r="C4" s="3">
        <v>2799000000</v>
      </c>
      <c r="D4" s="3">
        <v>489000000</v>
      </c>
    </row>
    <row r="5" spans="1:4" x14ac:dyDescent="0.25">
      <c r="A5" s="10">
        <v>2025</v>
      </c>
      <c r="B5" s="11">
        <v>723000000</v>
      </c>
      <c r="C5" s="11">
        <v>5565000000</v>
      </c>
      <c r="D5" s="11">
        <v>498000000</v>
      </c>
    </row>
    <row r="6" spans="1:4" ht="6" customHeight="1" x14ac:dyDescent="0.25">
      <c r="B6"/>
      <c r="C6"/>
      <c r="D6"/>
    </row>
    <row r="7" spans="1:4" x14ac:dyDescent="0.25">
      <c r="A7" s="5" t="s">
        <v>5</v>
      </c>
      <c r="B7" s="6"/>
      <c r="C7" s="6"/>
      <c r="D7" s="6"/>
    </row>
    <row r="8" spans="1:4" x14ac:dyDescent="0.25">
      <c r="A8" s="7">
        <v>2023</v>
      </c>
      <c r="B8" s="3">
        <v>-558000000</v>
      </c>
      <c r="C8" s="3">
        <v>1887000000</v>
      </c>
      <c r="D8" s="3">
        <v>-1622000000</v>
      </c>
    </row>
    <row r="9" spans="1:4" x14ac:dyDescent="0.25">
      <c r="A9" s="7">
        <v>2024</v>
      </c>
      <c r="B9" s="3">
        <v>123000000</v>
      </c>
      <c r="C9" s="3">
        <v>9856000000</v>
      </c>
      <c r="D9" s="3">
        <v>457000000</v>
      </c>
    </row>
    <row r="10" spans="1:4" x14ac:dyDescent="0.25">
      <c r="A10" s="10">
        <v>2025</v>
      </c>
      <c r="B10" s="11">
        <v>935000000</v>
      </c>
      <c r="C10" s="11">
        <v>10053000000</v>
      </c>
      <c r="D10" s="11">
        <v>447000000</v>
      </c>
    </row>
    <row r="11" spans="1:4" x14ac:dyDescent="0.25">
      <c r="B11"/>
      <c r="C11"/>
      <c r="D11"/>
    </row>
    <row r="12" spans="1:4" x14ac:dyDescent="0.25">
      <c r="B12"/>
      <c r="C12"/>
      <c r="D1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A629-6786-4993-9789-ED9E4C6499AC}">
  <dimension ref="A1:G24"/>
  <sheetViews>
    <sheetView workbookViewId="0">
      <selection activeCell="E2" sqref="E2"/>
    </sheetView>
  </sheetViews>
  <sheetFormatPr defaultRowHeight="15" x14ac:dyDescent="0.25"/>
  <cols>
    <col min="1" max="1" width="28.5703125" customWidth="1"/>
    <col min="2" max="4" width="16.7109375" customWidth="1"/>
    <col min="5" max="5" width="37.7109375" bestFit="1" customWidth="1"/>
    <col min="6" max="6" width="10.28515625" bestFit="1" customWidth="1"/>
  </cols>
  <sheetData>
    <row r="1" spans="1:7" ht="18.75" x14ac:dyDescent="0.3">
      <c r="A1" s="13" t="s">
        <v>6</v>
      </c>
      <c r="E1" s="4" t="s">
        <v>30</v>
      </c>
    </row>
    <row r="2" spans="1:7" x14ac:dyDescent="0.25">
      <c r="A2" s="14" t="s">
        <v>2</v>
      </c>
      <c r="C2" s="22" t="s">
        <v>18</v>
      </c>
      <c r="E2" s="23" t="s">
        <v>19</v>
      </c>
    </row>
    <row r="3" spans="1:7" ht="15.75" thickBot="1" x14ac:dyDescent="0.3">
      <c r="A3" s="17"/>
      <c r="B3" s="9" t="s">
        <v>7</v>
      </c>
      <c r="C3" s="9" t="s">
        <v>8</v>
      </c>
      <c r="D3" s="9" t="s">
        <v>9</v>
      </c>
      <c r="E3" s="9" t="s">
        <v>10</v>
      </c>
    </row>
    <row r="4" spans="1:7" x14ac:dyDescent="0.25">
      <c r="A4" s="5" t="s">
        <v>11</v>
      </c>
      <c r="B4" s="6"/>
      <c r="C4" s="6"/>
      <c r="D4" s="6"/>
      <c r="E4" s="6"/>
    </row>
    <row r="5" spans="1:7" x14ac:dyDescent="0.25">
      <c r="A5" t="s">
        <v>12</v>
      </c>
      <c r="C5" s="26">
        <f>INDEX(B$16:B$18,MATCH($E$2,$A$16:$A$18,0))</f>
        <v>0.18</v>
      </c>
      <c r="D5" s="26">
        <f>INDEX(C$16:C$18,MATCH($E$2,$A$16:$A$18,0))</f>
        <v>0.15</v>
      </c>
      <c r="E5" s="26">
        <f>INDEX(D$16:D$18,MATCH($E$2,$A$16:$A$18,0))</f>
        <v>0.12</v>
      </c>
    </row>
    <row r="6" spans="1:7" x14ac:dyDescent="0.25">
      <c r="A6" t="s">
        <v>13</v>
      </c>
      <c r="C6" s="26">
        <f>INDEX(E$16:E$18,MATCH($E$2,$A$16:$A$18,0))</f>
        <v>2.5000000000000001E-2</v>
      </c>
      <c r="D6" s="26">
        <f>INDEX(F$16:F$18,MATCH($E$2,$A$16:$A$18,0))</f>
        <v>0.05</v>
      </c>
      <c r="E6" s="26">
        <f>INDEX(G$16:G$18,MATCH($E$2,$A$16:$A$18,0))</f>
        <v>0.08</v>
      </c>
    </row>
    <row r="7" spans="1:7" ht="6" customHeight="1" x14ac:dyDescent="0.25"/>
    <row r="8" spans="1:7" x14ac:dyDescent="0.25">
      <c r="A8" s="5" t="s">
        <v>14</v>
      </c>
      <c r="B8" s="6"/>
      <c r="C8" s="6"/>
      <c r="D8" s="6"/>
      <c r="E8" s="6"/>
    </row>
    <row r="9" spans="1:7" x14ac:dyDescent="0.25">
      <c r="A9" s="18" t="s">
        <v>15</v>
      </c>
      <c r="B9" s="19">
        <v>13717000000</v>
      </c>
      <c r="C9" s="20">
        <f>B9*(1+C5)</f>
        <v>16186060000</v>
      </c>
      <c r="D9" s="20">
        <f>C9*(1+D5)</f>
        <v>18613969000</v>
      </c>
      <c r="E9" s="20">
        <f>D9*(1+E5)</f>
        <v>20847645280.000004</v>
      </c>
    </row>
    <row r="10" spans="1:7" x14ac:dyDescent="0.25">
      <c r="A10" s="14" t="s">
        <v>16</v>
      </c>
      <c r="C10" s="12">
        <f>C9/B9-1</f>
        <v>0.17999999999999994</v>
      </c>
      <c r="D10" s="12">
        <f>D9/C9-1</f>
        <v>0.14999999999999991</v>
      </c>
      <c r="E10" s="12">
        <f>E9/D9-1</f>
        <v>0.12000000000000011</v>
      </c>
    </row>
    <row r="11" spans="1:7" x14ac:dyDescent="0.25">
      <c r="A11" s="18" t="s">
        <v>4</v>
      </c>
      <c r="B11" s="21">
        <f>'Comp Table'!B5</f>
        <v>723000000</v>
      </c>
      <c r="C11" s="20">
        <f>C9*C6</f>
        <v>404651500</v>
      </c>
      <c r="D11" s="20">
        <f>D9*D6</f>
        <v>930698450</v>
      </c>
      <c r="E11" s="20">
        <f>E9*E6</f>
        <v>1667811622.4000003</v>
      </c>
    </row>
    <row r="12" spans="1:7" x14ac:dyDescent="0.25">
      <c r="A12" s="14" t="s">
        <v>17</v>
      </c>
      <c r="B12" s="12">
        <f>B11/B9</f>
        <v>5.2708318145367063E-2</v>
      </c>
      <c r="C12" s="12">
        <f>C11/C9</f>
        <v>2.5000000000000001E-2</v>
      </c>
      <c r="D12" s="12">
        <f>D11/D9</f>
        <v>0.05</v>
      </c>
      <c r="E12" s="12">
        <f>E11/E9</f>
        <v>0.08</v>
      </c>
    </row>
    <row r="14" spans="1:7" x14ac:dyDescent="0.25">
      <c r="A14" s="5" t="s">
        <v>20</v>
      </c>
      <c r="B14" s="6"/>
      <c r="C14" s="6"/>
      <c r="D14" s="6"/>
      <c r="E14" s="6"/>
      <c r="F14" s="6"/>
      <c r="G14" s="6"/>
    </row>
    <row r="15" spans="1:7" ht="15.75" thickBot="1" x14ac:dyDescent="0.3">
      <c r="A15" s="24" t="s">
        <v>21</v>
      </c>
      <c r="B15" s="25" t="s">
        <v>22</v>
      </c>
      <c r="C15" s="25" t="s">
        <v>23</v>
      </c>
      <c r="D15" s="25" t="s">
        <v>24</v>
      </c>
      <c r="E15" s="25" t="s">
        <v>25</v>
      </c>
      <c r="F15" s="25" t="s">
        <v>26</v>
      </c>
      <c r="G15" s="25" t="s">
        <v>27</v>
      </c>
    </row>
    <row r="16" spans="1:7" x14ac:dyDescent="0.25">
      <c r="A16" s="4" t="s">
        <v>19</v>
      </c>
      <c r="B16" s="15">
        <v>0.18</v>
      </c>
      <c r="C16" s="15">
        <v>0.15</v>
      </c>
      <c r="D16" s="15">
        <v>0.12</v>
      </c>
      <c r="E16" s="15">
        <v>2.5000000000000001E-2</v>
      </c>
      <c r="F16" s="15">
        <v>0.05</v>
      </c>
      <c r="G16" s="15">
        <v>0.08</v>
      </c>
    </row>
    <row r="17" spans="1:7" x14ac:dyDescent="0.25">
      <c r="A17" s="4" t="s">
        <v>29</v>
      </c>
      <c r="B17" s="15">
        <v>0.14000000000000001</v>
      </c>
      <c r="C17" s="15">
        <v>0.1</v>
      </c>
      <c r="D17" s="15">
        <v>7.0000000000000007E-2</v>
      </c>
      <c r="E17" s="15">
        <v>1.4999999999999999E-2</v>
      </c>
      <c r="F17" s="15">
        <v>0.03</v>
      </c>
      <c r="G17" s="15">
        <v>0.05</v>
      </c>
    </row>
    <row r="18" spans="1:7" x14ac:dyDescent="0.25">
      <c r="A18" s="4" t="s">
        <v>28</v>
      </c>
      <c r="B18" s="15">
        <v>0.22</v>
      </c>
      <c r="C18" s="15">
        <v>0.19</v>
      </c>
      <c r="D18" s="15">
        <v>0.16</v>
      </c>
      <c r="E18" s="15">
        <v>0.04</v>
      </c>
      <c r="F18" s="15">
        <v>7.0000000000000007E-2</v>
      </c>
      <c r="G18" s="15">
        <v>0.11</v>
      </c>
    </row>
    <row r="20" spans="1:7" s="28" customFormat="1" x14ac:dyDescent="0.25">
      <c r="A20" s="27"/>
    </row>
    <row r="21" spans="1:7" x14ac:dyDescent="0.25">
      <c r="A21" s="4"/>
    </row>
    <row r="22" spans="1:7" x14ac:dyDescent="0.25">
      <c r="A22" s="4"/>
    </row>
    <row r="23" spans="1:7" x14ac:dyDescent="0.25">
      <c r="A23" s="4"/>
    </row>
    <row r="24" spans="1:7" x14ac:dyDescent="0.25">
      <c r="A24" s="4"/>
    </row>
  </sheetData>
  <conditionalFormatting sqref="A16:G18 A21:A24">
    <cfRule type="expression" dxfId="0" priority="1">
      <formula>$A16=$E$2</formula>
    </cfRule>
  </conditionalFormatting>
  <dataValidations count="1">
    <dataValidation type="list" allowBlank="1" showInputMessage="1" showErrorMessage="1" sqref="E2" xr:uid="{0148C45F-EA76-4C02-98FD-42E83FC09520}">
      <formula1>"Base,Conservative,Bull"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F364-78BE-4693-8C88-0278A577CB21}">
  <dimension ref="A1:D13"/>
  <sheetViews>
    <sheetView zoomScale="80" zoomScaleNormal="80" workbookViewId="0">
      <selection sqref="A1:D1"/>
    </sheetView>
  </sheetViews>
  <sheetFormatPr defaultRowHeight="15" x14ac:dyDescent="0.25"/>
  <cols>
    <col min="1" max="4" width="28.5703125" customWidth="1"/>
  </cols>
  <sheetData>
    <row r="1" spans="1:4" ht="27.95" customHeight="1" x14ac:dyDescent="0.25">
      <c r="A1" s="29" t="s">
        <v>31</v>
      </c>
      <c r="B1" s="29"/>
      <c r="C1" s="29"/>
      <c r="D1" s="29"/>
    </row>
    <row r="2" spans="1:4" ht="8.1" customHeight="1" x14ac:dyDescent="0.25"/>
    <row r="3" spans="1:4" ht="21.95" customHeight="1" x14ac:dyDescent="0.25">
      <c r="A3" s="30" t="s">
        <v>32</v>
      </c>
      <c r="B3" s="30"/>
      <c r="C3" s="30"/>
      <c r="D3" s="30"/>
    </row>
    <row r="4" spans="1:4" ht="78" customHeight="1" x14ac:dyDescent="0.25">
      <c r="A4" s="32" t="s">
        <v>33</v>
      </c>
      <c r="B4" s="32"/>
      <c r="C4" s="32"/>
      <c r="D4" s="32"/>
    </row>
    <row r="5" spans="1:4" ht="8.1" customHeight="1" x14ac:dyDescent="0.25"/>
    <row r="6" spans="1:4" ht="21.95" customHeight="1" x14ac:dyDescent="0.25">
      <c r="A6" s="30" t="s">
        <v>34</v>
      </c>
      <c r="B6" s="30"/>
      <c r="C6" s="30"/>
      <c r="D6" s="30"/>
    </row>
    <row r="7" spans="1:4" ht="63.95" customHeight="1" x14ac:dyDescent="0.25">
      <c r="A7" s="32" t="s">
        <v>35</v>
      </c>
      <c r="B7" s="32"/>
      <c r="C7" s="32"/>
      <c r="D7" s="32"/>
    </row>
    <row r="8" spans="1:4" ht="8.1" customHeight="1" x14ac:dyDescent="0.25"/>
    <row r="9" spans="1:4" ht="21.95" customHeight="1" x14ac:dyDescent="0.25">
      <c r="A9" s="30" t="s">
        <v>36</v>
      </c>
      <c r="B9" s="30"/>
      <c r="C9" s="30"/>
      <c r="D9" s="30"/>
    </row>
    <row r="10" spans="1:4" ht="63.95" customHeight="1" x14ac:dyDescent="0.25">
      <c r="A10" s="32" t="s">
        <v>37</v>
      </c>
      <c r="B10" s="32"/>
      <c r="C10" s="32"/>
      <c r="D10" s="32"/>
    </row>
    <row r="11" spans="1:4" ht="8.1" customHeight="1" x14ac:dyDescent="0.25"/>
    <row r="12" spans="1:4" ht="21.95" customHeight="1" x14ac:dyDescent="0.25">
      <c r="A12" s="30" t="s">
        <v>38</v>
      </c>
      <c r="B12" s="30"/>
      <c r="C12" s="30"/>
      <c r="D12" s="30"/>
    </row>
    <row r="13" spans="1:4" ht="110.1" customHeight="1" x14ac:dyDescent="0.25">
      <c r="A13" s="32" t="s">
        <v>39</v>
      </c>
      <c r="B13" s="32"/>
      <c r="C13" s="32"/>
      <c r="D13" s="32"/>
    </row>
  </sheetData>
  <mergeCells count="9">
    <mergeCell ref="A10:D10"/>
    <mergeCell ref="A12:D12"/>
    <mergeCell ref="A13:D13"/>
    <mergeCell ref="A1:D1"/>
    <mergeCell ref="A3:D3"/>
    <mergeCell ref="A4:D4"/>
    <mergeCell ref="A6:D6"/>
    <mergeCell ref="A7:D7"/>
    <mergeCell ref="A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DE42-BBCF-4FD4-A1E1-6F0B91B85BA8}">
  <dimension ref="A1:D16"/>
  <sheetViews>
    <sheetView topLeftCell="A3" workbookViewId="0">
      <selection activeCell="A5" sqref="A5:D5"/>
    </sheetView>
  </sheetViews>
  <sheetFormatPr defaultRowHeight="15" x14ac:dyDescent="0.25"/>
  <cols>
    <col min="1" max="1" width="28.5703125" customWidth="1"/>
    <col min="2" max="4" width="17.140625" customWidth="1"/>
  </cols>
  <sheetData>
    <row r="1" spans="1:4" ht="21" x14ac:dyDescent="0.35">
      <c r="A1" s="33" t="s">
        <v>40</v>
      </c>
    </row>
    <row r="2" spans="1:4" x14ac:dyDescent="0.25">
      <c r="A2" s="14" t="s">
        <v>2</v>
      </c>
    </row>
    <row r="4" spans="1:4" ht="21.95" customHeight="1" x14ac:dyDescent="0.25">
      <c r="A4" s="30" t="s">
        <v>41</v>
      </c>
      <c r="B4" s="30"/>
      <c r="C4" s="30"/>
      <c r="D4" s="30"/>
    </row>
    <row r="5" spans="1:4" ht="140.1" customHeight="1" x14ac:dyDescent="0.25">
      <c r="A5" s="31" t="s">
        <v>47</v>
      </c>
      <c r="B5" s="31"/>
      <c r="C5" s="31"/>
      <c r="D5" s="31"/>
    </row>
    <row r="7" spans="1:4" ht="21.95" customHeight="1" x14ac:dyDescent="0.25">
      <c r="A7" s="30" t="s">
        <v>42</v>
      </c>
      <c r="B7" s="30"/>
      <c r="C7" s="30"/>
      <c r="D7" s="30"/>
    </row>
    <row r="8" spans="1:4" x14ac:dyDescent="0.25">
      <c r="B8" s="36" t="s">
        <v>43</v>
      </c>
      <c r="C8" s="36" t="s">
        <v>44</v>
      </c>
      <c r="D8" s="36" t="s">
        <v>7</v>
      </c>
    </row>
    <row r="9" spans="1:4" x14ac:dyDescent="0.25">
      <c r="A9" s="4" t="s">
        <v>3</v>
      </c>
      <c r="B9" s="16">
        <f>'Comp Table'!B3</f>
        <v>-579000000</v>
      </c>
      <c r="C9" s="16">
        <f>'Comp Table'!B4</f>
        <v>-38000000</v>
      </c>
      <c r="D9" s="16">
        <f>'Comp Table'!B5</f>
        <v>723000000</v>
      </c>
    </row>
    <row r="10" spans="1:4" x14ac:dyDescent="0.25">
      <c r="A10" s="34" t="s">
        <v>0</v>
      </c>
      <c r="B10" s="16">
        <f>'Comp Table'!C3</f>
        <v>1110000000</v>
      </c>
      <c r="C10" s="16">
        <f>'Comp Table'!C4</f>
        <v>2799000000</v>
      </c>
      <c r="D10" s="16">
        <f>'Comp Table'!C5</f>
        <v>5565000000</v>
      </c>
    </row>
    <row r="11" spans="1:4" x14ac:dyDescent="0.25">
      <c r="A11" s="34" t="s">
        <v>1</v>
      </c>
      <c r="B11" s="16">
        <f>'Comp Table'!D3</f>
        <v>-2142000000</v>
      </c>
      <c r="C11" s="16">
        <f>'Comp Table'!D4</f>
        <v>489000000</v>
      </c>
      <c r="D11" s="16">
        <f>'Comp Table'!D5</f>
        <v>498000000</v>
      </c>
    </row>
    <row r="13" spans="1:4" ht="21.95" customHeight="1" x14ac:dyDescent="0.25">
      <c r="A13" s="30" t="s">
        <v>45</v>
      </c>
      <c r="B13" s="30"/>
      <c r="C13" s="30"/>
      <c r="D13" s="30"/>
    </row>
    <row r="14" spans="1:4" x14ac:dyDescent="0.25">
      <c r="B14" s="36" t="s">
        <v>8</v>
      </c>
      <c r="C14" s="36" t="s">
        <v>9</v>
      </c>
      <c r="D14" s="36" t="s">
        <v>10</v>
      </c>
    </row>
    <row r="15" spans="1:4" x14ac:dyDescent="0.25">
      <c r="A15" s="34" t="s">
        <v>4</v>
      </c>
      <c r="B15" s="16">
        <f>'DoorDash Forecast'!C11</f>
        <v>404651500</v>
      </c>
      <c r="C15" s="16">
        <f>'DoorDash Forecast'!D11</f>
        <v>930698450</v>
      </c>
      <c r="D15" s="16">
        <f>'DoorDash Forecast'!E11</f>
        <v>1667811622.4000003</v>
      </c>
    </row>
    <row r="16" spans="1:4" x14ac:dyDescent="0.25">
      <c r="A16" s="34" t="s">
        <v>46</v>
      </c>
      <c r="B16" s="35">
        <f>'DoorDash Forecast'!C12</f>
        <v>2.5000000000000001E-2</v>
      </c>
      <c r="C16" s="35">
        <f>'DoorDash Forecast'!D12</f>
        <v>0.05</v>
      </c>
      <c r="D16" s="35">
        <f>'DoorDash Forecast'!E12</f>
        <v>0.08</v>
      </c>
    </row>
  </sheetData>
  <mergeCells count="4">
    <mergeCell ref="A4:D4"/>
    <mergeCell ref="A5:D5"/>
    <mergeCell ref="A7:D7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 Table</vt:lpstr>
      <vt:lpstr>DoorDash Forecast</vt:lpstr>
      <vt:lpstr>Assumption Scenario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Latunde</dc:creator>
  <cp:lastModifiedBy>Karsten Latunde</cp:lastModifiedBy>
  <dcterms:created xsi:type="dcterms:W3CDTF">2026-06-19T18:38:36Z</dcterms:created>
  <dcterms:modified xsi:type="dcterms:W3CDTF">2026-06-19T20:53:49Z</dcterms:modified>
</cp:coreProperties>
</file>